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lot Summary" sheetId="1" state="visible" r:id="rId3"/>
    <sheet name="Economics" sheetId="2" state="visible" r:id="rId4"/>
    <sheet name="Pipeline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<sst xmlns="http://schemas.openxmlformats.org/spreadsheetml/2006/main" count="59" uniqueCount="49">
  <si>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Halestrom Pilot Campaign — Top-line Results</t>
  </si>
  <si>
    <t xml:space="preserve">Q3, 13 weeks. Prepared by the Lisbon engagement team.</t>
  </si>
  <si>
    <t xml:space="preserve">Segment</t>
  </si>
  <si>
    <t xml:space="preserve">Leads Generated</t>
  </si>
  <si>
    <t xml:space="preserve">Demos Booked</t>
  </si>
  <si>
    <t xml:space="preserve">Demos → Close Rate</t>
  </si>
  <si>
    <t xml:space="preserve">Deals Closed</t>
  </si>
  <si>
    <t xml:space="preserve">Lead → Close Rate</t>
  </si>
  <si>
    <t xml:space="preserve">A — Enterprise</t>
  </si>
  <si>
    <t xml:space="preserve">B — Mid-market</t>
  </si>
  <si>
    <t xml:space="preserve">C — SMB</t>
  </si>
  <si>
    <t xml:space="preserve">Total</t>
  </si>
  <si>
    <t xml:space="preserve">Note: this view shows only volume and conversion rate. See Economics tab for deal value and CAC.</t>
  </si>
  <si>
    <t xml:space="preserve">Halestrom Pilot — Unit Economics by Segment</t>
  </si>
  <si>
    <t xml:space="preserve">Includes deal size, retention, CAC, and projected LTV.</t>
  </si>
  <si>
    <t xml:space="preserve">Avg ACV (EUR)</t>
  </si>
  <si>
    <t xml:space="preserve">Total Revenue (EUR)</t>
  </si>
  <si>
    <t xml:space="preserve">Segment Spend (EUR)</t>
  </si>
  <si>
    <t xml:space="preserve">CAC (EUR)</t>
  </si>
  <si>
    <t xml:space="preserve">Expected Retention (yrs)</t>
  </si>
  <si>
    <t xml:space="preserve">Projected LTV per deal (EUR)</t>
  </si>
  <si>
    <t xml:space="preserve">Total / Weighted</t>
  </si>
  <si>
    <t xml:space="preserve">Note: Retention years are projections based on customer interviews and industry benchmarks for B2B SaaS. Actual retention will be confirmed over time.</t>
  </si>
  <si>
    <t xml:space="preserve">Open Pipeline at Pilot Close</t>
  </si>
  <si>
    <t xml:space="preserve">Opportunities engaged during the pilot but not yet closed-won or closed-lost.</t>
  </si>
  <si>
    <t xml:space="preserve">Open Opportunities</t>
  </si>
  <si>
    <t xml:space="preserve">Total Potential ACV (EUR)</t>
  </si>
  <si>
    <t xml:space="preserve">Weighted Pipeline (EUR)</t>
  </si>
  <si>
    <t xml:space="preserve">Avg Probability</t>
  </si>
  <si>
    <t xml:space="preserve">Note: Enterprise pipeline weighted-value is substantially larger than other segments combined, even at 40% average probability. This pipeline is NOT included in the closed-deal counts on the Pilot Summary tab.</t>
  </si>
  <si>
    <t xml:space="preserve">Methodology and Caveats</t>
  </si>
  <si>
    <t xml:space="preserve">Pilot duration</t>
  </si>
  <si>
    <t xml:space="preserve">13 weeks (Q3)</t>
  </si>
  <si>
    <t xml:space="preserve">Spend allocation</t>
  </si>
  <si>
    <t xml:space="preserve">Roughly proportional to estimated addressable list per segment</t>
  </si>
  <si>
    <t xml:space="preserve">Demo definition</t>
  </si>
  <si>
    <t xml:space="preserve">Live product demonstration delivered, prospect attended</t>
  </si>
  <si>
    <t xml:space="preserve">Deal close definition</t>
  </si>
  <si>
    <t xml:space="preserve">Contract signed and first invoice issued within pilot window</t>
  </si>
  <si>
    <t xml:space="preserve">Pipeline definition</t>
  </si>
  <si>
    <t xml:space="preserve">Opportunity engaged, qualified, but contract not yet signed at pilot close</t>
  </si>
  <si>
    <t xml:space="preserve">Retention projections</t>
  </si>
  <si>
    <t xml:space="preserve">Based on customer interviews and B2B SaaS industry benchmarks. NOT actual observed retention.</t>
  </si>
  <si>
    <t xml:space="preserve">CAC calculation</t>
  </si>
  <si>
    <t xml:space="preserve">Segment-specific spend divided by deals closed in that segment</t>
  </si>
  <si>
    <t xml:space="preserve">Excluded from analysis</t>
  </si>
  <si>
    <t xml:space="preserve">Halestrom existing customer base inbound activity; pilot-attributable closes only</t>
  </si>
  <si>
    <t xml:space="preserve">Known limitations</t>
  </si>
  <si>
    <t xml:space="preserve">Enterprise sales cycles longer than pilot window; many opportunities still open. Mid-market figures may include brand-recognition effects from existing customers.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</si>
</sst>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General"/>
    <numFmt numFmtId="167" formatCode="#,##0"/>
    <numFmt numFmtId="168" formatCode="0.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420</v>
      </c>
      <c r="C5" s="5" t="n">
        <v>64</v>
      </c>
      <c r="D5" s="6" t="n">
        <f aca="false">E5/C5</f>
        <v>0.125</v>
      </c>
      <c r="E5" s="5" t="n">
        <v>8</v>
      </c>
      <c r="F5" s="6" t="n">
        <f aca="false">E5/B5</f>
        <v>0.0190476190476191</v>
      </c>
    </row>
    <row r="6" customFormat="false" ht="15" hidden="false" customHeight="false" outlineLevel="0" collapsed="false">
      <c r="A6" s="4" t="s">
        <v>9</v>
      </c>
      <c r="B6" s="5" t="n">
        <v>980</v>
      </c>
      <c r="C6" s="5" t="n">
        <v>180</v>
      </c>
      <c r="D6" s="6" t="n">
        <f aca="false">E6/C6</f>
        <v>0.188888888888889</v>
      </c>
      <c r="E6" s="5" t="n">
        <v>34</v>
      </c>
      <c r="F6" s="6" t="n">
        <f aca="false">E6/B6</f>
        <v>0.0346938775510204</v>
      </c>
    </row>
    <row r="7" customFormat="false" ht="15" hidden="false" customHeight="false" outlineLevel="0" collapsed="false">
      <c r="A7" s="4" t="s">
        <v>10</v>
      </c>
      <c r="B7" s="5" t="n">
        <v>2150</v>
      </c>
      <c r="C7" s="5" t="n">
        <v>410</v>
      </c>
      <c r="D7" s="6" t="n">
        <f aca="false">E7/C7</f>
        <v>0.346341463414634</v>
      </c>
      <c r="E7" s="5" t="n">
        <v>142</v>
      </c>
      <c r="F7" s="6" t="n">
        <f aca="false">E7/B7</f>
        <v>0.066046511627907</v>
      </c>
    </row>
    <row r="8" customFormat="false" ht="15" hidden="false" customHeight="false" outlineLevel="0" collapsed="false">
      <c r="A8" s="7" t="s">
        <v>11</v>
      </c>
      <c r="B8" s="8" t="n">
        <f aca="false">SUM(B5:B7)</f>
        <v>3550</v>
      </c>
      <c r="C8" s="8" t="n">
        <f aca="false">SUM(C5:C7)</f>
        <v>654</v>
      </c>
      <c r="D8" s="9" t="n">
        <f aca="false">E8/C8</f>
        <v>0.281345565749235</v>
      </c>
      <c r="E8" s="8" t="n">
        <f aca="false">SUM(E5:E7)</f>
        <v>184</v>
      </c>
      <c r="F8" s="9" t="n">
        <f aca="false">E8/B8</f>
        <v>0.051830985915493</v>
      </c>
    </row>
    <row r="11" customFormat="false" ht="15" hidden="false" customHeight="false" outlineLevel="0" collapsed="false">
      <c r="A11" s="2" t="s">
        <v>12</v>
      </c>
      <c r="B11" s="2"/>
      <c r="C11" s="2"/>
      <c r="D11" s="2"/>
      <c r="E11" s="2"/>
      <c r="F11" s="2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13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</row>
    <row r="5" customFormat="false" ht="15" hidden="false" customHeight="false" outlineLevel="0" collapsed="false">
      <c r="A5" s="4" t="s">
        <v>8</v>
      </c>
      <c r="B5" s="5" t="n">
        <v>8</v>
      </c>
      <c r="C5" s="10" t="n">
        <v>450000</v>
      </c>
      <c r="D5" s="10" t="n">
        <f aca="false">B5*C5</f>
        <v>3600000</v>
      </c>
      <c r="E5" s="10" t="n">
        <v>95000</v>
      </c>
      <c r="F5" s="10" t="n">
        <f aca="false">E5/B5</f>
        <v>11875</v>
      </c>
      <c r="G5" s="11" t="n">
        <v>4</v>
      </c>
      <c r="H5" s="10" t="n">
        <f aca="false">C5*G5</f>
        <v>1800000</v>
      </c>
    </row>
    <row r="6" customFormat="false" ht="15" hidden="false" customHeight="false" outlineLevel="0" collapsed="false">
      <c r="A6" s="4" t="s">
        <v>9</v>
      </c>
      <c r="B6" s="5" t="n">
        <v>34</v>
      </c>
      <c r="C6" s="10" t="n">
        <v>52000</v>
      </c>
      <c r="D6" s="10" t="n">
        <f aca="false">B6*C6</f>
        <v>1768000</v>
      </c>
      <c r="E6" s="10" t="n">
        <v>55000</v>
      </c>
      <c r="F6" s="10" t="n">
        <f aca="false">E6/B6</f>
        <v>1617.64705882353</v>
      </c>
      <c r="G6" s="11" t="n">
        <v>3</v>
      </c>
      <c r="H6" s="10" t="n">
        <f aca="false">C6*G6</f>
        <v>156000</v>
      </c>
    </row>
    <row r="7" customFormat="false" ht="15" hidden="false" customHeight="false" outlineLevel="0" collapsed="false">
      <c r="A7" s="4" t="s">
        <v>10</v>
      </c>
      <c r="B7" s="5" t="n">
        <v>142</v>
      </c>
      <c r="C7" s="10" t="n">
        <v>2800</v>
      </c>
      <c r="D7" s="10" t="n">
        <f aca="false">B7*C7</f>
        <v>397600</v>
      </c>
      <c r="E7" s="10" t="n">
        <v>30000</v>
      </c>
      <c r="F7" s="10" t="n">
        <f aca="false">E7/B7</f>
        <v>211.267605633803</v>
      </c>
      <c r="G7" s="11" t="n">
        <v>1.5</v>
      </c>
      <c r="H7" s="10" t="n">
        <f aca="false">C7*G7</f>
        <v>4200</v>
      </c>
    </row>
    <row r="8" customFormat="false" ht="15" hidden="false" customHeight="false" outlineLevel="0" collapsed="false">
      <c r="A8" s="7" t="s">
        <v>21</v>
      </c>
      <c r="B8" s="8" t="n">
        <f aca="false">SUM(B5:B7)</f>
        <v>184</v>
      </c>
      <c r="C8" s="12" t="n">
        <f aca="false">SUMPRODUCT(B5:B7,C5:C7)/B8</f>
        <v>31334.7826086957</v>
      </c>
      <c r="D8" s="12" t="n">
        <f aca="false">SUM(D5:D7)</f>
        <v>5765600</v>
      </c>
      <c r="E8" s="12" t="n">
        <f aca="false">SUM(E5:E7)</f>
        <v>180000</v>
      </c>
      <c r="F8" s="12" t="n">
        <f aca="false">E8/B8</f>
        <v>978.260869565217</v>
      </c>
      <c r="G8" s="13" t="n">
        <f aca="false">SUMPRODUCT(B5:B7,G5:G7)/B8</f>
        <v>1.88586956521739</v>
      </c>
      <c r="H8" s="12" t="n">
        <f aca="false">SUMPRODUCT(B5:B7,H5:H7)/B8</f>
        <v>110328.260869565</v>
      </c>
    </row>
    <row r="11" customFormat="false" ht="15" hidden="false" customHeight="false" outlineLevel="0" collapsed="false">
      <c r="A11" s="2" t="s">
        <v>22</v>
      </c>
      <c r="B11" s="2"/>
      <c r="C11" s="2"/>
      <c r="D11" s="2"/>
      <c r="E11" s="2"/>
      <c r="F11" s="2"/>
      <c r="G11" s="2"/>
      <c r="H11" s="2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2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25</v>
      </c>
      <c r="C4" s="3" t="s">
        <v>26</v>
      </c>
      <c r="D4" s="3" t="s">
        <v>27</v>
      </c>
      <c r="E4" s="3" t="s">
        <v>28</v>
      </c>
    </row>
    <row r="5" customFormat="false" ht="15" hidden="false" customHeight="false" outlineLevel="0" collapsed="false">
      <c r="A5" s="4" t="s">
        <v>8</v>
      </c>
      <c r="B5" s="5" t="n">
        <v>11</v>
      </c>
      <c r="C5" s="10" t="n">
        <v>4800000</v>
      </c>
      <c r="D5" s="10" t="n">
        <v>1920000</v>
      </c>
      <c r="E5" s="14" t="n">
        <v>0.4</v>
      </c>
    </row>
    <row r="6" customFormat="false" ht="15" hidden="false" customHeight="false" outlineLevel="0" collapsed="false">
      <c r="A6" s="4" t="s">
        <v>9</v>
      </c>
      <c r="B6" s="5" t="n">
        <v>23</v>
      </c>
      <c r="C6" s="10" t="n">
        <v>1100000</v>
      </c>
      <c r="D6" s="10" t="n">
        <v>660000</v>
      </c>
      <c r="E6" s="14" t="n">
        <v>0.6</v>
      </c>
    </row>
    <row r="7" customFormat="false" ht="15" hidden="false" customHeight="false" outlineLevel="0" collapsed="false">
      <c r="A7" s="4" t="s">
        <v>10</v>
      </c>
      <c r="B7" s="5" t="n">
        <v>67</v>
      </c>
      <c r="C7" s="10" t="n">
        <v>185000</v>
      </c>
      <c r="D7" s="10" t="n">
        <v>92500</v>
      </c>
      <c r="E7" s="14" t="n">
        <v>0.5</v>
      </c>
    </row>
    <row r="8" customFormat="false" ht="15" hidden="false" customHeight="false" outlineLevel="0" collapsed="false">
      <c r="A8" s="7" t="s">
        <v>11</v>
      </c>
      <c r="B8" s="8" t="n">
        <f aca="false">SUM(B5:B7)</f>
        <v>101</v>
      </c>
      <c r="C8" s="12" t="n">
        <f aca="false">SUM(C5:C7)</f>
        <v>6085000</v>
      </c>
      <c r="D8" s="12" t="n">
        <f aca="false">SUM(D5:D7)</f>
        <v>2672500</v>
      </c>
      <c r="E8" s="15"/>
    </row>
    <row r="11" customFormat="false" ht="15" hidden="false" customHeight="false" outlineLevel="0" collapsed="false">
      <c r="A11" s="2" t="s">
        <v>29</v>
      </c>
      <c r="B11" s="2"/>
      <c r="C11" s="2"/>
      <c r="D11" s="2"/>
      <c r="E11" s="2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30</v>
      </c>
      <c r="B1" s="1"/>
    </row>
    <row r="3" customFormat="false" ht="30" hidden="false" customHeight="true" outlineLevel="0" collapsed="false">
      <c r="A3" s="16" t="s">
        <v>31</v>
      </c>
      <c r="B3" s="17" t="s">
        <v>32</v>
      </c>
    </row>
    <row r="4" customFormat="false" ht="30" hidden="false" customHeight="true" outlineLevel="0" collapsed="false">
      <c r="A4" s="16" t="s">
        <v>33</v>
      </c>
      <c r="B4" s="17" t="s">
        <v>34</v>
      </c>
    </row>
    <row r="5" customFormat="false" ht="30" hidden="false" customHeight="true" outlineLevel="0" collapsed="false">
      <c r="A5" s="16" t="s">
        <v>35</v>
      </c>
      <c r="B5" s="17" t="s">
        <v>36</v>
      </c>
    </row>
    <row r="6" customFormat="false" ht="30" hidden="false" customHeight="true" outlineLevel="0" collapsed="false">
      <c r="A6" s="16" t="s">
        <v>37</v>
      </c>
      <c r="B6" s="17" t="s">
        <v>38</v>
      </c>
    </row>
    <row r="7" customFormat="false" ht="30" hidden="false" customHeight="true" outlineLevel="0" collapsed="false">
      <c r="A7" s="16" t="s">
        <v>39</v>
      </c>
      <c r="B7" s="17" t="s">
        <v>40</v>
      </c>
    </row>
    <row r="8" customFormat="false" ht="30" hidden="false" customHeight="true" outlineLevel="0" collapsed="false">
      <c r="A8" s="16" t="s">
        <v>41</v>
      </c>
      <c r="B8" s="17" t="s">
        <v>42</v>
      </c>
    </row>
    <row r="9" customFormat="false" ht="30" hidden="false" customHeight="true" outlineLevel="0" collapsed="false">
      <c r="A9" s="16" t="s">
        <v>43</v>
      </c>
      <c r="B9" s="17" t="s">
        <v>44</v>
      </c>
    </row>
    <row r="10" customFormat="false" ht="30" hidden="false" customHeight="true" outlineLevel="0" collapsed="false">
      <c r="A10" s="16" t="s">
        <v>45</v>
      </c>
      <c r="B10" s="17" t="s">
        <v>46</v>
      </c>
    </row>
    <row r="11" customFormat="false" ht="30" hidden="false" customHeight="true" outlineLevel="0" collapsed="false">
      <c r="A11" s="16" t="s">
        <v>47</v>
      </c>
      <c r="B11" s="17" t="s">
        <v>48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2026-05-24T08:29:42Z</dcterms:created>
  <dc:creator>openpyxl</dc:creator>
  <dc:description/>
  <dc:language>en-US</dc:language>
  <cp:lastModifiedBy/>
  <dcterms:modified xsi:type="dcterms:W3CDTF">2026-05-24T08:29:42Z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